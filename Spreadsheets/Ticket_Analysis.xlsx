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Count - Same Day" sheetId="2" r:id="rId6"/>
    <sheet state="visible" name="Count - Same Hour" sheetId="3" r:id="rId7"/>
    <sheet state="visible" name="feedback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<sst xmlns="http://schemas.openxmlformats.org/spreadsheetml/2006/main" count="317" uniqueCount="259">
  <si>
    <t>ticket_id</t>
  </si>
  <si>
    <t>created_at</t>
  </si>
  <si>
    <t>closed_at</t>
  </si>
  <si>
    <t>outlet_id</t>
  </si>
  <si>
    <t>cms_id</t>
  </si>
  <si>
    <t>Same Day?</t>
  </si>
  <si>
    <t>Same Hour?</t>
  </si>
  <si>
    <t>isu-tgd-rxc-acgp</t>
  </si>
  <si>
    <t>2023-09-21 07:33:32</t>
  </si>
  <si>
    <t>out-ssk-pvau</t>
  </si>
  <si>
    <t>vew-siey-53</t>
  </si>
  <si>
    <t>isu-nzjo-psbf-zwwj</t>
  </si>
  <si>
    <t>2021-03-09 11:56:59</t>
  </si>
  <si>
    <t>2021-03-17 06:56:59</t>
  </si>
  <si>
    <t>out-qjjf-srbq</t>
  </si>
  <si>
    <t>vew-ngmh-91</t>
  </si>
  <si>
    <t>isu-xos-rkx-ddto</t>
  </si>
  <si>
    <t>2022-02-20 22:06:12</t>
  </si>
  <si>
    <t>2022-02-21 15:06:12</t>
  </si>
  <si>
    <t>out-xkfz-cbcq</t>
  </si>
  <si>
    <t>vew-ukbj-69</t>
  </si>
  <si>
    <t>isu-lyw-ztnc-vnfj</t>
  </si>
  <si>
    <t>2022-04-01 22:28:40</t>
  </si>
  <si>
    <t>2022-04-06 14:28:40</t>
  </si>
  <si>
    <t>out-oun-pmc</t>
  </si>
  <si>
    <t>vew-jzug-40</t>
  </si>
  <si>
    <t>isu-gwl-ytr-krjx</t>
  </si>
  <si>
    <t>2023-10-22 21:17:36</t>
  </si>
  <si>
    <t>2023-10-27 23:17:36</t>
  </si>
  <si>
    <t>out-dfip-pas</t>
  </si>
  <si>
    <t>vew-bbai-75</t>
  </si>
  <si>
    <t>isu-uecl-kwbq-bsu</t>
  </si>
  <si>
    <t>2023-01-05 06:27:11</t>
  </si>
  <si>
    <t>2023-01-07 21:27:11</t>
  </si>
  <si>
    <t>out-gel-emwb</t>
  </si>
  <si>
    <t>vew-vwcq-79</t>
  </si>
  <si>
    <t>isu-jzg-hssu-ehzp</t>
  </si>
  <si>
    <t>2022-09-15 23:51:56</t>
  </si>
  <si>
    <t>2022-09-16 15:51:56</t>
  </si>
  <si>
    <t>out-tbp-bnw</t>
  </si>
  <si>
    <t>vew-bbwk-82</t>
  </si>
  <si>
    <t>isu-fsgk-lyya-bfg</t>
  </si>
  <si>
    <t>2023-03-24 02:45:08</t>
  </si>
  <si>
    <t>2023-03-27 11:45:08</t>
  </si>
  <si>
    <t>out-wwje-pzra</t>
  </si>
  <si>
    <t>vew-vhry-27</t>
  </si>
  <si>
    <t>isu-fqgm-clh-idz</t>
  </si>
  <si>
    <t>2021-11-24 04:50:33</t>
  </si>
  <si>
    <t>2021-12-01 20:50:33</t>
  </si>
  <si>
    <t>out-tol-cyr</t>
  </si>
  <si>
    <t>vew-dajo-65</t>
  </si>
  <si>
    <t>isu-uwkq-yge-wat</t>
  </si>
  <si>
    <t>2023-11-03 01:04:47</t>
  </si>
  <si>
    <t>2023-11-04 04:04:47</t>
  </si>
  <si>
    <t>out-ukrt-guc</t>
  </si>
  <si>
    <t>vew-wwfv-68</t>
  </si>
  <si>
    <t>isu-jnrv-ycze-apiu</t>
  </si>
  <si>
    <t>2022-03-09 19:04:29</t>
  </si>
  <si>
    <t>2022-03-10 13:04:29</t>
  </si>
  <si>
    <t>out-pnko-blnu</t>
  </si>
  <si>
    <t>vew-rytf-65</t>
  </si>
  <si>
    <t>isu-isoe-rxqh-hfu</t>
  </si>
  <si>
    <t>2022-04-26 10:58:04</t>
  </si>
  <si>
    <t>2022-05-03 13:58:04</t>
  </si>
  <si>
    <t>out-mlfm-rhr</t>
  </si>
  <si>
    <t>vew-qcyg-49</t>
  </si>
  <si>
    <t>isu-xosj-grat-ufu</t>
  </si>
  <si>
    <t>2021-04-24 03:13:59</t>
  </si>
  <si>
    <t>2021-04-29 00:13:59</t>
  </si>
  <si>
    <t>out-bgwl-rzpy</t>
  </si>
  <si>
    <t>vew-xpsn-80</t>
  </si>
  <si>
    <t>isu-hch-ixcd-ssbk</t>
  </si>
  <si>
    <t>2023-01-23 19:05:10</t>
  </si>
  <si>
    <t>2023-01-30 12:05:10</t>
  </si>
  <si>
    <t>out-kfkx-wtj</t>
  </si>
  <si>
    <t>vew-ajtw-63</t>
  </si>
  <si>
    <t>isu-rusv-znx-clw</t>
  </si>
  <si>
    <t>2021-02-15 02:07:25</t>
  </si>
  <si>
    <t>2021-02-19 06:07:25</t>
  </si>
  <si>
    <t>out-bjf-iwhy</t>
  </si>
  <si>
    <t>vew-kvmt-16</t>
  </si>
  <si>
    <t>isu-dro-mgj-uei</t>
  </si>
  <si>
    <t>2023-08-24 05:04:20</t>
  </si>
  <si>
    <t>2023-08-25 21:04:20</t>
  </si>
  <si>
    <t>out-yox-ksbr</t>
  </si>
  <si>
    <t>vew-qcuw-86</t>
  </si>
  <si>
    <t>isu-akml-qvsl-qxum</t>
  </si>
  <si>
    <t>2023-02-25 23:35:07</t>
  </si>
  <si>
    <t>2023-03-04 21:35:07</t>
  </si>
  <si>
    <t>out-igyh-gmpj</t>
  </si>
  <si>
    <t>vew-awef-43</t>
  </si>
  <si>
    <t>isu-mtrq-lahk-hpm</t>
  </si>
  <si>
    <t>2022-01-10 22:24:20</t>
  </si>
  <si>
    <t>2022-01-18 15:24:20</t>
  </si>
  <si>
    <t>out-ltis-hfsi</t>
  </si>
  <si>
    <t>vew-tyre-71</t>
  </si>
  <si>
    <t>isu-sdb-osd-cahm</t>
  </si>
  <si>
    <t>2021-10-06 18:03:56</t>
  </si>
  <si>
    <t>2021-10-10 00:03:56</t>
  </si>
  <si>
    <t>out-ebym-kbq</t>
  </si>
  <si>
    <t>vew-bdoh-41</t>
  </si>
  <si>
    <t>isu-hplo-pty-qgc</t>
  </si>
  <si>
    <t>2022-08-14 21:31:14</t>
  </si>
  <si>
    <t>2022-08-19 17:31:14</t>
  </si>
  <si>
    <t>out-eba-rmah</t>
  </si>
  <si>
    <t>vew-hwbg-43</t>
  </si>
  <si>
    <t>isu-bup-lmhk-nmcb</t>
  </si>
  <si>
    <t>2022-02-17 15:29:46</t>
  </si>
  <si>
    <t>2022-02-19 04:29:46</t>
  </si>
  <si>
    <t>out-tpaf-zrh</t>
  </si>
  <si>
    <t>vew-btmq-45</t>
  </si>
  <si>
    <t>isu-wis-rkta-iiz</t>
  </si>
  <si>
    <t>2022-06-02 18:38:15</t>
  </si>
  <si>
    <t>2022-06-06 05:38:15</t>
  </si>
  <si>
    <t>out-wvaw-kejt</t>
  </si>
  <si>
    <t>vew-qtfo-46</t>
  </si>
  <si>
    <t>isu-ocz-ldv-yhsk</t>
  </si>
  <si>
    <t>2022-04-28 17:36:17</t>
  </si>
  <si>
    <t>2022-05-04 15:36:17</t>
  </si>
  <si>
    <t>out-zgoj-whu</t>
  </si>
  <si>
    <t>vew-kynv-46</t>
  </si>
  <si>
    <t>isu-lies-gubt-krvz</t>
  </si>
  <si>
    <t>2022-06-01 10:15:35</t>
  </si>
  <si>
    <t>2022-06-07 08:15:35</t>
  </si>
  <si>
    <t>out-zdzi-wln</t>
  </si>
  <si>
    <t>vew-lskr-29</t>
  </si>
  <si>
    <t>isu-yqxm-qgr-ztlc</t>
  </si>
  <si>
    <t>2023-11-14 13:52:10</t>
  </si>
  <si>
    <t>2023-11-20 06:52:10</t>
  </si>
  <si>
    <t>out-lsx-ibj</t>
  </si>
  <si>
    <t>vew-lgkr-33</t>
  </si>
  <si>
    <t>isu-lgg-xmh-byz</t>
  </si>
  <si>
    <t>2023-06-25 21:40:25</t>
  </si>
  <si>
    <t>2023-06-27 10:40:25</t>
  </si>
  <si>
    <t>out-qlgv-zwc</t>
  </si>
  <si>
    <t>vew-jjhs-12</t>
  </si>
  <si>
    <t>isu-fegt-qxq-uajd</t>
  </si>
  <si>
    <t>2021-12-24 11:26:07</t>
  </si>
  <si>
    <t>2021-12-30 23:26:07</t>
  </si>
  <si>
    <t>out-ikfu-nxvg</t>
  </si>
  <si>
    <t>vew-vmut-53</t>
  </si>
  <si>
    <t>isu-gdj-pvyc-mqy</t>
  </si>
  <si>
    <t>2021-05-21 06:44:06</t>
  </si>
  <si>
    <t>2021-05-25 12:44:06</t>
  </si>
  <si>
    <t>out-xfbv-qdba</t>
  </si>
  <si>
    <t>vew-zdgn-59</t>
  </si>
  <si>
    <t>isu-ajly-croz-bhzy</t>
  </si>
  <si>
    <t>2023-08-15 09:10:41</t>
  </si>
  <si>
    <t>2023-08-19 18:10:41</t>
  </si>
  <si>
    <t>out-cfqz-ugd</t>
  </si>
  <si>
    <t>vew-obtf-37</t>
  </si>
  <si>
    <t>isu-cwd-ugie-dkc</t>
  </si>
  <si>
    <t>2023-04-20 04:41:31</t>
  </si>
  <si>
    <t>2023-04-22 21:41:31</t>
  </si>
  <si>
    <t>out-mun-lfp</t>
  </si>
  <si>
    <t>vew-sxrh-92</t>
  </si>
  <si>
    <t>isu-pbhq-jphn-cswq</t>
  </si>
  <si>
    <t>2021-04-25 03:55:56</t>
  </si>
  <si>
    <t>2021-04-26 00:55:56</t>
  </si>
  <si>
    <t>out-lxk-ksii</t>
  </si>
  <si>
    <t>vew-gyrm-21</t>
  </si>
  <si>
    <t>isu-rkwy-wszp-cnem</t>
  </si>
  <si>
    <t>2023-07-01 01:00:10</t>
  </si>
  <si>
    <t>2023-07-07 01:00:10</t>
  </si>
  <si>
    <t>out-joc-ouvz</t>
  </si>
  <si>
    <t>vew-vpqa-94</t>
  </si>
  <si>
    <t>isu-btzc-jle-suoc</t>
  </si>
  <si>
    <t>2021-10-09 19:17:21</t>
  </si>
  <si>
    <t>2021-10-11 08:17:21</t>
  </si>
  <si>
    <t>out-etb-hrm</t>
  </si>
  <si>
    <t>vew-lhtc-65</t>
  </si>
  <si>
    <t>isu-fyt-hdml-jsn</t>
  </si>
  <si>
    <t>2023-07-21 00:27:14</t>
  </si>
  <si>
    <t>out-bwba-woo</t>
  </si>
  <si>
    <t>vew-skca-51</t>
  </si>
  <si>
    <t>isu-nkii-ubqn-xjs</t>
  </si>
  <si>
    <t>2022-11-08 19:11:53</t>
  </si>
  <si>
    <t>2022-11-15 02:11:53</t>
  </si>
  <si>
    <t>out-gdf-tre</t>
  </si>
  <si>
    <t>vew-umtt-67</t>
  </si>
  <si>
    <t>isu-upjb-lbvb-pnm</t>
  </si>
  <si>
    <t>2022-11-18 22:42:41</t>
  </si>
  <si>
    <t>2022-11-25 16:42:41</t>
  </si>
  <si>
    <t>out-lvq-pnyl</t>
  </si>
  <si>
    <t>vew-vvzc-92</t>
  </si>
  <si>
    <t>isu-xkur-uqb-okg</t>
  </si>
  <si>
    <t>2021-09-04 14:29:15</t>
  </si>
  <si>
    <t>2021-09-08 12:29:15</t>
  </si>
  <si>
    <t>out-ipd-irrd</t>
  </si>
  <si>
    <t>vew-scoq-52</t>
  </si>
  <si>
    <t>isu-ite-ehu-rwq</t>
  </si>
  <si>
    <t>2022-04-25 19:21:42</t>
  </si>
  <si>
    <t>2022-04-27 18:21:42</t>
  </si>
  <si>
    <t>out-eesq-sbj</t>
  </si>
  <si>
    <t>vew-szpt-67</t>
  </si>
  <si>
    <t>isu-unke-udg-wocv</t>
  </si>
  <si>
    <t>2022-11-16 10:39:42</t>
  </si>
  <si>
    <t>2022-11-21 09:39:42</t>
  </si>
  <si>
    <t>out-hth-vcx</t>
  </si>
  <si>
    <t>vew-vxyk-60</t>
  </si>
  <si>
    <t>isu-udhv-tmp-afd</t>
  </si>
  <si>
    <t>2022-05-11 01:25:59</t>
  </si>
  <si>
    <t>2022-05-12 03:25:59</t>
  </si>
  <si>
    <t>out-chhb-qqbv</t>
  </si>
  <si>
    <t>vew-mnqo-28</t>
  </si>
  <si>
    <t>isu-njy-kmq-gaui</t>
  </si>
  <si>
    <t>2021-10-18 23:34:07</t>
  </si>
  <si>
    <t>2021-10-26 02:34:07</t>
  </si>
  <si>
    <t>out-uti-jiq</t>
  </si>
  <si>
    <t>vew-vrzm-33</t>
  </si>
  <si>
    <t>isu-nzog-hwb-hulk</t>
  </si>
  <si>
    <t>2021-03-07 02:22:00</t>
  </si>
  <si>
    <t>2021-03-10 11:22:00</t>
  </si>
  <si>
    <t>out-xkzm-jugc</t>
  </si>
  <si>
    <t>vew-llze-47</t>
  </si>
  <si>
    <t>isu-jbwj-hzyb-jury</t>
  </si>
  <si>
    <t>2022-10-24 22:45:31</t>
  </si>
  <si>
    <t>2022-10-26 17:45:31</t>
  </si>
  <si>
    <t>out-wrl-buj</t>
  </si>
  <si>
    <t>vew-jopr-57</t>
  </si>
  <si>
    <t>isu-gctm-xdus-zhx</t>
  </si>
  <si>
    <t>2022-05-04 09:08:19</t>
  </si>
  <si>
    <t>2022-05-11 08:08:19</t>
  </si>
  <si>
    <t>out-fdbe-zvzz</t>
  </si>
  <si>
    <t>vew-rsoh-48</t>
  </si>
  <si>
    <t>isu-aoju-pci-ntvb</t>
  </si>
  <si>
    <t>2021-08-04 17:42:18</t>
  </si>
  <si>
    <t>2021-08-07 06:42:18</t>
  </si>
  <si>
    <t>out-qlri-tdn</t>
  </si>
  <si>
    <t>vew-wvnh-30</t>
  </si>
  <si>
    <t>isu-dhnn-ppe-vova</t>
  </si>
  <si>
    <t>2021-11-01 22:39:57</t>
  </si>
  <si>
    <t>2021-11-08 17:39:57</t>
  </si>
  <si>
    <t>out-yug-tkq</t>
  </si>
  <si>
    <t>vew-mqhy-71</t>
  </si>
  <si>
    <t>isu-midw-twzd-ncgd</t>
  </si>
  <si>
    <t>2022-11-14 21:40:51</t>
  </si>
  <si>
    <t>2022-11-19 08:40:51</t>
  </si>
  <si>
    <t>out-gchj-gwei</t>
  </si>
  <si>
    <t>vew-pitm-75</t>
  </si>
  <si>
    <t>isu-pbh-hacd-stjk</t>
  </si>
  <si>
    <t>2022-12-12 06:47:37</t>
  </si>
  <si>
    <t>2022-12-14 20:47:37</t>
  </si>
  <si>
    <t>out-jhk-thzr</t>
  </si>
  <si>
    <t>vew-dzku-53</t>
  </si>
  <si>
    <t>isu-dim-dxdy-ezth</t>
  </si>
  <si>
    <t>2021-03-04 12:48:42</t>
  </si>
  <si>
    <t>2021-03-05 00:48:42</t>
  </si>
  <si>
    <t>out-nnmo-vjrz</t>
  </si>
  <si>
    <t>vew-pusr-13</t>
  </si>
  <si>
    <t>isu-dray-elk-rkux</t>
  </si>
  <si>
    <t>2023-01-17 08:25:44</t>
  </si>
  <si>
    <t>2023-01-19 04:25:44</t>
  </si>
  <si>
    <t>out-sno-niex</t>
  </si>
  <si>
    <t>vew-ijus-92</t>
  </si>
  <si>
    <t>COUNTA of ticket_id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</si>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</sst>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0" fillId="2" fontId="1" numFmtId="0" xfId="0" applyAlignment="1" applyFont="1">
      <alignment horizontal="left"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1" sheet="ticket"/>
  </cacheSource>
  <cacheFields>
    <cacheField name="ticket_id" numFmtId="0">
      <sharedItems>
        <s v="isu-tgd-rxc-acgp"/>
        <s v="isu-nzjo-psbf-zwwj"/>
        <s v="isu-xos-rkx-ddto"/>
        <s v="isu-lyw-ztnc-vnfj"/>
        <s v="isu-gwl-ytr-krjx"/>
        <s v="isu-uecl-kwbq-bsu"/>
        <s v="isu-jzg-hssu-ehzp"/>
        <s v="isu-fsgk-lyya-bfg"/>
        <s v="isu-fqgm-clh-idz"/>
        <s v="isu-uwkq-yge-wat"/>
        <s v="isu-jnrv-ycze-apiu"/>
        <s v="isu-isoe-rxqh-hfu"/>
        <s v="isu-xosj-grat-ufu"/>
        <s v="isu-hch-ixcd-ssbk"/>
        <s v="isu-rusv-znx-clw"/>
        <s v="isu-dro-mgj-uei"/>
        <s v="isu-akml-qvsl-qxum"/>
        <s v="isu-mtrq-lahk-hpm"/>
        <s v="isu-sdb-osd-cahm"/>
        <s v="isu-hplo-pty-qgc"/>
        <s v="isu-bup-lmhk-nmcb"/>
        <s v="isu-wis-rkta-iiz"/>
        <s v="isu-ocz-ldv-yhsk"/>
        <s v="isu-lies-gubt-krvz"/>
        <s v="isu-yqxm-qgr-ztlc"/>
        <s v="isu-lgg-xmh-byz"/>
        <s v="isu-fegt-qxq-uajd"/>
        <s v="isu-gdj-pvyc-mqy"/>
        <s v="isu-ajly-croz-bhzy"/>
        <s v="isu-cwd-ugie-dkc"/>
        <s v="isu-pbhq-jphn-cswq"/>
        <s v="isu-rkwy-wszp-cnem"/>
        <s v="isu-btzc-jle-suoc"/>
        <s v="isu-fyt-hdml-jsn"/>
        <s v="isu-nkii-ubqn-xjs"/>
        <s v="isu-upjb-lbvb-pnm"/>
        <s v="isu-xkur-uqb-okg"/>
        <s v="isu-ite-ehu-rwq"/>
        <s v="isu-unke-udg-wocv"/>
        <s v="isu-udhv-tmp-afd"/>
        <s v="isu-njy-kmq-gaui"/>
        <s v="isu-nzog-hwb-hulk"/>
        <s v="isu-jbwj-hzyb-jury"/>
        <s v="isu-gctm-xdus-zhx"/>
        <s v="isu-aoju-pci-ntvb"/>
        <s v="isu-dhnn-ppe-vova"/>
        <s v="isu-midw-twzd-ncgd"/>
        <s v="isu-pbh-hacd-stjk"/>
        <s v="isu-dim-dxdy-ezth"/>
        <s v="isu-dray-elk-rkux"/>
      </sharedItems>
    </cacheField>
    <cacheField name="created_at" numFmtId="0">
      <sharedItems>
        <s v="2023-09-21 07:33:32"/>
        <s v="2021-03-09 11:56:59"/>
        <s v="2022-02-20 22:06:12"/>
        <s v="2022-04-01 22:28:40"/>
        <s v="2023-10-22 21:17:36"/>
        <s v="2023-01-05 06:27:11"/>
        <s v="2022-09-15 23:51:56"/>
        <s v="2023-03-24 02:45:08"/>
        <s v="2021-11-24 04:50:33"/>
        <s v="2023-11-03 01:04:47"/>
        <s v="2022-03-09 19:04:29"/>
        <s v="2022-04-26 10:58:04"/>
        <s v="2021-04-24 03:13:59"/>
        <s v="2023-01-23 19:05:10"/>
        <s v="2021-02-15 02:07:25"/>
        <s v="2023-08-24 05:04:20"/>
        <s v="2023-02-25 23:35:07"/>
        <s v="2022-01-10 22:24:20"/>
        <s v="2021-10-06 18:03:56"/>
        <s v="2022-08-14 21:31:14"/>
        <s v="2022-02-17 15:29:46"/>
        <s v="2022-06-02 18:38:15"/>
        <s v="2022-04-28 17:36:17"/>
        <s v="2022-06-01 10:15:35"/>
        <s v="2023-11-14 13:52:10"/>
        <s v="2023-06-25 21:40:25"/>
        <s v="2021-12-24 11:26:07"/>
        <s v="2021-05-21 06:44:06"/>
        <s v="2023-08-15 09:10:41"/>
        <s v="2023-04-20 04:41:31"/>
        <s v="2021-04-25 03:55:56"/>
        <s v="2023-07-01 01:00:10"/>
        <s v="2021-10-09 19:17:21"/>
        <s v="2023-07-21 00:27:14"/>
        <s v="2022-11-08 19:11:53"/>
        <s v="2022-11-18 22:42:41"/>
        <s v="2021-09-04 14:29:15"/>
        <s v="2022-04-25 19:21:42"/>
        <s v="2022-11-16 10:39:42"/>
        <s v="2022-05-11 01:25:59"/>
        <s v="2021-10-18 23:34:07"/>
        <s v="2021-03-07 02:22:00"/>
        <s v="2022-10-24 22:45:31"/>
        <s v="2022-05-04 09:08:19"/>
        <s v="2021-08-04 17:42:18"/>
        <s v="2021-11-01 22:39:57"/>
        <s v="2022-11-14 21:40:51"/>
        <s v="2022-12-12 06:47:37"/>
        <s v="2021-03-04 12:48:42"/>
        <s v="2023-01-17 08:25:44"/>
      </sharedItems>
    </cacheField>
    <cacheField name="closed_at">
      <sharedItems containsDate="1" containsMixedTypes="1">
        <d v="2023-09-21T07:53:32Z"/>
        <s v="2021-03-17 06:56:59"/>
        <s v="2022-02-21 15:06:12"/>
        <s v="2022-04-06 14:28:40"/>
        <s v="2023-10-27 23:17:36"/>
        <s v="2023-01-07 21:27:11"/>
        <s v="2022-09-16 15:51:56"/>
        <s v="2023-03-27 11:45:08"/>
        <s v="2021-12-01 20:50:33"/>
        <s v="2023-11-04 04:04:47"/>
        <s v="2022-03-10 13:04:29"/>
        <s v="2022-05-03 13:58:04"/>
        <s v="2021-04-29 00:13:59"/>
        <s v="2023-01-30 12:05:10"/>
        <s v="2021-02-19 06:07:25"/>
        <s v="2023-08-25 21:04:20"/>
        <s v="2023-03-04 21:35:07"/>
        <s v="2022-01-18 15:24:20"/>
        <s v="2021-10-10 00:03:56"/>
        <s v="2022-08-19 17:31:14"/>
        <s v="2022-02-19 04:29:46"/>
        <s v="2022-06-06 05:38:15"/>
        <s v="2022-05-04 15:36:17"/>
        <s v="2022-06-07 08:15:35"/>
        <s v="2023-11-20 06:52:10"/>
        <s v="2023-06-27 10:40:25"/>
        <s v="2021-12-30 23:26:07"/>
        <s v="2021-05-25 12:44:06"/>
        <s v="2023-08-19 18:10:41"/>
        <s v="2023-04-22 21:41:31"/>
        <s v="2021-04-26 00:55:56"/>
        <s v="2023-07-07 01:00:10"/>
        <s v="2021-10-11 08:17:21"/>
        <d v="2023-07-21T00:57:14Z"/>
        <s v="2022-11-15 02:11:53"/>
        <s v="2022-11-25 16:42:41"/>
        <s v="2021-09-08 12:29:15"/>
        <s v="2022-04-27 18:21:42"/>
        <s v="2022-11-21 09:39:42"/>
        <s v="2022-05-12 03:25:59"/>
        <s v="2021-10-26 02:34:07"/>
        <s v="2021-03-10 11:22:00"/>
        <s v="2022-10-26 17:45:31"/>
        <s v="2022-05-11 08:08:19"/>
        <s v="2021-08-07 06:42:18"/>
        <s v="2021-11-08 17:39:57"/>
        <s v="2022-11-19 08:40:51"/>
        <s v="2022-12-14 20:47:37"/>
        <s v="2021-03-05 00:48:42"/>
        <s v="2023-01-19 04:25:44"/>
      </sharedItems>
    </cacheField>
    <cacheField name="outlet_id" numFmtId="0">
      <sharedItems>
        <s v="out-ssk-pvau"/>
        <s v="out-qjjf-srbq"/>
        <s v="out-xkfz-cbcq"/>
        <s v="out-oun-pmc"/>
        <s v="out-dfip-pas"/>
        <s v="out-gel-emwb"/>
        <s v="out-tbp-bnw"/>
        <s v="out-wwje-pzra"/>
        <s v="out-tol-cyr"/>
        <s v="out-ukrt-guc"/>
        <s v="out-pnko-blnu"/>
        <s v="out-mlfm-rhr"/>
        <s v="out-bgwl-rzpy"/>
        <s v="out-kfkx-wtj"/>
        <s v="out-bjf-iwhy"/>
        <s v="out-yox-ksbr"/>
        <s v="out-igyh-gmpj"/>
        <s v="out-ltis-hfsi"/>
        <s v="out-ebym-kbq"/>
        <s v="out-eba-rmah"/>
        <s v="out-tpaf-zrh"/>
        <s v="out-wvaw-kejt"/>
        <s v="out-zgoj-whu"/>
        <s v="out-zdzi-wln"/>
        <s v="out-lsx-ibj"/>
        <s v="out-qlgv-zwc"/>
        <s v="out-ikfu-nxvg"/>
        <s v="out-xfbv-qdba"/>
        <s v="out-cfqz-ugd"/>
        <s v="out-mun-lfp"/>
        <s v="out-lxk-ksii"/>
        <s v="out-joc-ouvz"/>
        <s v="out-etb-hrm"/>
        <s v="out-bwba-woo"/>
        <s v="out-gdf-tre"/>
        <s v="out-lvq-pnyl"/>
        <s v="out-ipd-irrd"/>
        <s v="out-eesq-sbj"/>
        <s v="out-hth-vcx"/>
        <s v="out-chhb-qqbv"/>
        <s v="out-uti-jiq"/>
        <s v="out-xkzm-jugc"/>
        <s v="out-wrl-buj"/>
        <s v="out-fdbe-zvzz"/>
        <s v="out-qlri-tdn"/>
        <s v="out-yug-tkq"/>
        <s v="out-gchj-gwei"/>
        <s v="out-jhk-thzr"/>
        <s v="out-nnmo-vjrz"/>
        <s v="out-sno-niex"/>
      </sharedItems>
    </cacheField>
    <cacheField name="cms_id" numFmtId="0">
      <sharedItems>
        <s v="vew-siey-53"/>
        <s v="vew-ngmh-91"/>
        <s v="vew-ukbj-69"/>
        <s v="vew-jzug-40"/>
        <s v="vew-bbai-75"/>
        <s v="vew-vwcq-79"/>
        <s v="vew-bbwk-82"/>
        <s v="vew-vhry-27"/>
        <s v="vew-dajo-65"/>
        <s v="vew-wwfv-68"/>
        <s v="vew-rytf-65"/>
        <s v="vew-qcyg-49"/>
        <s v="vew-xpsn-80"/>
        <s v="vew-ajtw-63"/>
        <s v="vew-kvmt-16"/>
        <s v="vew-qcuw-86"/>
        <s v="vew-awef-43"/>
        <s v="vew-tyre-71"/>
        <s v="vew-bdoh-41"/>
        <s v="vew-hwbg-43"/>
        <s v="vew-btmq-45"/>
        <s v="vew-qtfo-46"/>
        <s v="vew-kynv-46"/>
        <s v="vew-lskr-29"/>
        <s v="vew-lgkr-33"/>
        <s v="vew-jjhs-12"/>
        <s v="vew-vmut-53"/>
        <s v="vew-zdgn-59"/>
        <s v="vew-obtf-37"/>
        <s v="vew-sxrh-92"/>
        <s v="vew-gyrm-21"/>
        <s v="vew-vpqa-94"/>
        <s v="vew-lhtc-65"/>
        <s v="vew-skca-51"/>
        <s v="vew-umtt-67"/>
        <s v="vew-vvzc-92"/>
        <s v="vew-scoq-52"/>
        <s v="vew-szpt-67"/>
        <s v="vew-vxyk-60"/>
        <s v="vew-mnqo-28"/>
        <s v="vew-vrzm-33"/>
        <s v="vew-llze-47"/>
        <s v="vew-jopr-57"/>
        <s v="vew-rsoh-48"/>
        <s v="vew-wvnh-30"/>
        <s v="vew-mqhy-71"/>
        <s v="vew-pitm-75"/>
        <s v="vew-dzku-53"/>
        <s v="vew-pusr-13"/>
        <s v="vew-ijus-92"/>
      </sharedItems>
    </cacheField>
    <cacheField name="Same Day?" numFmtId="0">
      <sharedItems>
        <b v="1"/>
        <b v="0"/>
      </sharedItems>
    </cacheField>
    <cacheField name="Same Hour?" numFmtId="0">
      <sharedItems>
        <b v="1"/>
        <b v="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nt - Same Day" cacheId="0" dataCaption="" rowGrandTotals="0" compact="0" compactData="0">
  <location ref="A3:B5" firstHeaderRow="0" firstDataRow="1" firstDataCol="0" rowPageCount="1" colPageCount="1"/>
  <pivotFields>
    <pivotField name="ticke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reated_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osed_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outlet_id" axis="axisRow" compact="0" outline="0" multipleItemSelectionAllowed="1" showAll="0" sortType="ascending">
      <items>
        <item x="12"/>
        <item x="14"/>
        <item x="33"/>
        <item x="28"/>
        <item x="39"/>
        <item x="4"/>
        <item x="19"/>
        <item x="18"/>
        <item x="37"/>
        <item x="32"/>
        <item x="43"/>
        <item x="46"/>
        <item x="34"/>
        <item x="5"/>
        <item x="38"/>
        <item x="16"/>
        <item x="26"/>
        <item x="36"/>
        <item x="47"/>
        <item x="31"/>
        <item x="13"/>
        <item x="24"/>
        <item x="17"/>
        <item x="35"/>
        <item x="30"/>
        <item x="11"/>
        <item x="29"/>
        <item x="48"/>
        <item x="3"/>
        <item x="10"/>
        <item x="1"/>
        <item x="25"/>
        <item x="44"/>
        <item x="49"/>
        <item x="0"/>
        <item x="6"/>
        <item x="8"/>
        <item x="20"/>
        <item x="9"/>
        <item x="40"/>
        <item x="42"/>
        <item x="21"/>
        <item x="7"/>
        <item x="27"/>
        <item x="2"/>
        <item x="41"/>
        <item x="15"/>
        <item x="45"/>
        <item x="23"/>
        <item x="22"/>
        <item t="default"/>
      </items>
    </pivotField>
    <pivotField name="cm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me Day?" axis="axisPage" compact="0" outline="0" multipleItemSelectionAllowed="1" showAll="0">
      <items>
        <item x="0"/>
        <item h="1" x="1"/>
        <item t="default"/>
      </items>
    </pivotField>
    <pivotField name="Same Hour?" compact="0" outline="0" multipleItemSelectionAllowed="1" showAll="0">
      <items>
        <item x="0"/>
        <item x="1"/>
        <item t="default"/>
      </items>
    </pivotField>
  </pivotFields>
  <rowFields>
    <field x="3"/>
  </rowFields>
  <pageFields>
    <pageField fld="5"/>
  </pageFields>
  <dataFields>
    <dataField name="COUNTA of ticket_id" fld="0" subtotal="count" baseField="0"/>
  </dataFields>
</pivotTableDefinition>
</file>

<file path=xl/pivotTables/pivotTable2.xml><?xml version="1.0" encoding="utf-8"?>
<pivotTableDefinition xmlns="http://schemas.openxmlformats.org/spreadsheetml/2006/main" name="Count - Same Hour" cacheId="0" dataCaption="" rowGrandTotals="0" compact="0" compactData="0">
  <location ref="A3:B5" firstHeaderRow="0" firstDataRow="1" firstDataCol="0" rowPageCount="1" colPageCount="1"/>
  <pivotFields>
    <pivotField name="ticket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reated_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losed_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outlet_id" axis="axisRow" compact="0" outline="0" multipleItemSelectionAllowed="1" showAll="0" sortType="ascending">
      <items>
        <item x="12"/>
        <item x="14"/>
        <item x="33"/>
        <item x="28"/>
        <item x="39"/>
        <item x="4"/>
        <item x="19"/>
        <item x="18"/>
        <item x="37"/>
        <item x="32"/>
        <item x="43"/>
        <item x="46"/>
        <item x="34"/>
        <item x="5"/>
        <item x="38"/>
        <item x="16"/>
        <item x="26"/>
        <item x="36"/>
        <item x="47"/>
        <item x="31"/>
        <item x="13"/>
        <item x="24"/>
        <item x="17"/>
        <item x="35"/>
        <item x="30"/>
        <item x="11"/>
        <item x="29"/>
        <item x="48"/>
        <item x="3"/>
        <item x="10"/>
        <item x="1"/>
        <item x="25"/>
        <item x="44"/>
        <item x="49"/>
        <item x="0"/>
        <item x="6"/>
        <item x="8"/>
        <item x="20"/>
        <item x="9"/>
        <item x="40"/>
        <item x="42"/>
        <item x="21"/>
        <item x="7"/>
        <item x="27"/>
        <item x="2"/>
        <item x="41"/>
        <item x="15"/>
        <item x="45"/>
        <item x="23"/>
        <item x="22"/>
        <item t="default"/>
      </items>
    </pivotField>
    <pivotField name="cm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ame Day?" compact="0" outline="0" multipleItemSelectionAllowed="1" showAll="0">
      <items>
        <item x="0"/>
        <item x="1"/>
        <item t="default"/>
      </items>
    </pivotField>
    <pivotField name="Same Hour?" axis="axisPage" compact="0" outline="0" multipleItemSelectionAllowed="1" showAll="0">
      <items>
        <item x="0"/>
        <item h="1" x="1"/>
        <item t="default"/>
      </items>
    </pivotField>
  </pivotFields>
  <rowFields>
    <field x="3"/>
  </rowFields>
  <pageFields>
    <pageField fld="6"/>
  </pageFields>
  <dataFields>
    <dataField name="COUNTA of ticket_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0.25"/>
    <col customWidth="1" min="3" max="3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 t="s">
        <v>8</v>
      </c>
      <c r="C2" s="5">
        <v>45190.32884259259</v>
      </c>
      <c r="D2" s="4" t="s">
        <v>9</v>
      </c>
      <c r="E2" s="6" t="s">
        <v>10</v>
      </c>
      <c r="F2" s="7" t="b">
        <f t="shared" ref="F2:F51" si="1">IF(INT(B2)=INT(C2),TRUE,FALSE)</f>
        <v>1</v>
      </c>
      <c r="G2" s="7" t="b">
        <f t="shared" ref="G2:G51" si="2">IF(AND(INT(B2)=INT(C2), HOUR(B2)=HOUR(C2)), TRUE, FALSE)</f>
        <v>1</v>
      </c>
    </row>
    <row r="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8" t="b">
        <f t="shared" si="1"/>
        <v>0</v>
      </c>
      <c r="G3" s="8" t="b">
        <f t="shared" si="2"/>
        <v>0</v>
      </c>
    </row>
    <row r="4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8" t="b">
        <f t="shared" si="1"/>
        <v>0</v>
      </c>
      <c r="G4" s="8" t="b">
        <f t="shared" si="2"/>
        <v>0</v>
      </c>
    </row>
    <row r="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  <c r="F5" s="8" t="b">
        <f t="shared" si="1"/>
        <v>0</v>
      </c>
      <c r="G5" s="8" t="b">
        <f t="shared" si="2"/>
        <v>0</v>
      </c>
    </row>
    <row r="6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8" t="b">
        <f t="shared" si="1"/>
        <v>0</v>
      </c>
      <c r="G6" s="8" t="b">
        <f t="shared" si="2"/>
        <v>0</v>
      </c>
    </row>
    <row r="7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8" t="b">
        <f t="shared" si="1"/>
        <v>0</v>
      </c>
      <c r="G7" s="8" t="b">
        <f t="shared" si="2"/>
        <v>0</v>
      </c>
    </row>
    <row r="8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8" t="b">
        <f t="shared" si="1"/>
        <v>0</v>
      </c>
      <c r="G8" s="8" t="b">
        <f t="shared" si="2"/>
        <v>0</v>
      </c>
    </row>
    <row r="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8" t="b">
        <f t="shared" si="1"/>
        <v>0</v>
      </c>
      <c r="G9" s="8" t="b">
        <f t="shared" si="2"/>
        <v>0</v>
      </c>
    </row>
    <row r="10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8" t="b">
        <f t="shared" si="1"/>
        <v>0</v>
      </c>
      <c r="G10" s="8" t="b">
        <f t="shared" si="2"/>
        <v>0</v>
      </c>
    </row>
    <row r="11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8" t="b">
        <f t="shared" si="1"/>
        <v>0</v>
      </c>
      <c r="G11" s="8" t="b">
        <f t="shared" si="2"/>
        <v>0</v>
      </c>
    </row>
    <row r="12">
      <c r="A12" s="4" t="s">
        <v>56</v>
      </c>
      <c r="B12" s="4" t="s">
        <v>57</v>
      </c>
      <c r="C12" s="4" t="s">
        <v>58</v>
      </c>
      <c r="D12" s="4" t="s">
        <v>59</v>
      </c>
      <c r="E12" s="4" t="s">
        <v>60</v>
      </c>
      <c r="F12" s="8" t="b">
        <f t="shared" si="1"/>
        <v>0</v>
      </c>
      <c r="G12" s="8" t="b">
        <f t="shared" si="2"/>
        <v>0</v>
      </c>
    </row>
    <row r="13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65</v>
      </c>
      <c r="F13" s="8" t="b">
        <f t="shared" si="1"/>
        <v>0</v>
      </c>
      <c r="G13" s="8" t="b">
        <f t="shared" si="2"/>
        <v>0</v>
      </c>
    </row>
    <row r="14">
      <c r="A14" s="4" t="s">
        <v>66</v>
      </c>
      <c r="B14" s="4" t="s">
        <v>67</v>
      </c>
      <c r="C14" s="4" t="s">
        <v>68</v>
      </c>
      <c r="D14" s="4" t="s">
        <v>69</v>
      </c>
      <c r="E14" s="4" t="s">
        <v>70</v>
      </c>
      <c r="F14" s="8" t="b">
        <f t="shared" si="1"/>
        <v>0</v>
      </c>
      <c r="G14" s="8" t="b">
        <f t="shared" si="2"/>
        <v>0</v>
      </c>
    </row>
    <row r="1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75</v>
      </c>
      <c r="F15" s="8" t="b">
        <f t="shared" si="1"/>
        <v>0</v>
      </c>
      <c r="G15" s="8" t="b">
        <f t="shared" si="2"/>
        <v>0</v>
      </c>
    </row>
    <row r="16">
      <c r="A16" s="4" t="s">
        <v>76</v>
      </c>
      <c r="B16" s="4" t="s">
        <v>77</v>
      </c>
      <c r="C16" s="4" t="s">
        <v>78</v>
      </c>
      <c r="D16" s="4" t="s">
        <v>79</v>
      </c>
      <c r="E16" s="4" t="s">
        <v>80</v>
      </c>
      <c r="F16" s="8" t="b">
        <f t="shared" si="1"/>
        <v>0</v>
      </c>
      <c r="G16" s="8" t="b">
        <f t="shared" si="2"/>
        <v>0</v>
      </c>
    </row>
    <row r="17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85</v>
      </c>
      <c r="F17" s="8" t="b">
        <f t="shared" si="1"/>
        <v>0</v>
      </c>
      <c r="G17" s="8" t="b">
        <f t="shared" si="2"/>
        <v>0</v>
      </c>
    </row>
    <row r="18">
      <c r="A18" s="4" t="s">
        <v>86</v>
      </c>
      <c r="B18" s="4" t="s">
        <v>87</v>
      </c>
      <c r="C18" s="4" t="s">
        <v>88</v>
      </c>
      <c r="D18" s="4" t="s">
        <v>89</v>
      </c>
      <c r="E18" s="4" t="s">
        <v>90</v>
      </c>
      <c r="F18" s="8" t="b">
        <f t="shared" si="1"/>
        <v>0</v>
      </c>
      <c r="G18" s="8" t="b">
        <f t="shared" si="2"/>
        <v>0</v>
      </c>
    </row>
    <row r="19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95</v>
      </c>
      <c r="F19" s="8" t="b">
        <f t="shared" si="1"/>
        <v>0</v>
      </c>
      <c r="G19" s="8" t="b">
        <f t="shared" si="2"/>
        <v>0</v>
      </c>
    </row>
    <row r="20">
      <c r="A20" s="4" t="s">
        <v>96</v>
      </c>
      <c r="B20" s="4" t="s">
        <v>97</v>
      </c>
      <c r="C20" s="4" t="s">
        <v>98</v>
      </c>
      <c r="D20" s="4" t="s">
        <v>99</v>
      </c>
      <c r="E20" s="4" t="s">
        <v>100</v>
      </c>
      <c r="F20" s="8" t="b">
        <f t="shared" si="1"/>
        <v>0</v>
      </c>
      <c r="G20" s="8" t="b">
        <f t="shared" si="2"/>
        <v>0</v>
      </c>
    </row>
    <row r="21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105</v>
      </c>
      <c r="F21" s="8" t="b">
        <f t="shared" si="1"/>
        <v>0</v>
      </c>
      <c r="G21" s="8" t="b">
        <f t="shared" si="2"/>
        <v>0</v>
      </c>
    </row>
    <row r="22">
      <c r="A22" s="4" t="s">
        <v>106</v>
      </c>
      <c r="B22" s="4" t="s">
        <v>107</v>
      </c>
      <c r="C22" s="4" t="s">
        <v>108</v>
      </c>
      <c r="D22" s="4" t="s">
        <v>109</v>
      </c>
      <c r="E22" s="4" t="s">
        <v>110</v>
      </c>
      <c r="F22" s="8" t="b">
        <f t="shared" si="1"/>
        <v>0</v>
      </c>
      <c r="G22" s="8" t="b">
        <f t="shared" si="2"/>
        <v>0</v>
      </c>
    </row>
    <row r="23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115</v>
      </c>
      <c r="F23" s="8" t="b">
        <f t="shared" si="1"/>
        <v>0</v>
      </c>
      <c r="G23" s="8" t="b">
        <f t="shared" si="2"/>
        <v>0</v>
      </c>
    </row>
    <row r="24">
      <c r="A24" s="4" t="s">
        <v>116</v>
      </c>
      <c r="B24" s="4" t="s">
        <v>117</v>
      </c>
      <c r="C24" s="4" t="s">
        <v>118</v>
      </c>
      <c r="D24" s="4" t="s">
        <v>119</v>
      </c>
      <c r="E24" s="4" t="s">
        <v>120</v>
      </c>
      <c r="F24" s="8" t="b">
        <f t="shared" si="1"/>
        <v>0</v>
      </c>
      <c r="G24" s="8" t="b">
        <f t="shared" si="2"/>
        <v>0</v>
      </c>
    </row>
    <row r="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125</v>
      </c>
      <c r="F25" s="8" t="b">
        <f t="shared" si="1"/>
        <v>0</v>
      </c>
      <c r="G25" s="8" t="b">
        <f t="shared" si="2"/>
        <v>0</v>
      </c>
    </row>
    <row r="26">
      <c r="A26" s="4" t="s">
        <v>126</v>
      </c>
      <c r="B26" s="4" t="s">
        <v>127</v>
      </c>
      <c r="C26" s="4" t="s">
        <v>128</v>
      </c>
      <c r="D26" s="4" t="s">
        <v>129</v>
      </c>
      <c r="E26" s="4" t="s">
        <v>130</v>
      </c>
      <c r="F26" s="8" t="b">
        <f t="shared" si="1"/>
        <v>0</v>
      </c>
      <c r="G26" s="8" t="b">
        <f t="shared" si="2"/>
        <v>0</v>
      </c>
    </row>
    <row r="27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135</v>
      </c>
      <c r="F27" s="8" t="b">
        <f t="shared" si="1"/>
        <v>0</v>
      </c>
      <c r="G27" s="8" t="b">
        <f t="shared" si="2"/>
        <v>0</v>
      </c>
    </row>
    <row r="28">
      <c r="A28" s="4" t="s">
        <v>136</v>
      </c>
      <c r="B28" s="4" t="s">
        <v>137</v>
      </c>
      <c r="C28" s="4" t="s">
        <v>138</v>
      </c>
      <c r="D28" s="4" t="s">
        <v>139</v>
      </c>
      <c r="E28" s="4" t="s">
        <v>140</v>
      </c>
      <c r="F28" s="8" t="b">
        <f t="shared" si="1"/>
        <v>0</v>
      </c>
      <c r="G28" s="8" t="b">
        <f t="shared" si="2"/>
        <v>0</v>
      </c>
    </row>
    <row r="29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145</v>
      </c>
      <c r="F29" s="8" t="b">
        <f t="shared" si="1"/>
        <v>0</v>
      </c>
      <c r="G29" s="8" t="b">
        <f t="shared" si="2"/>
        <v>0</v>
      </c>
    </row>
    <row r="30">
      <c r="A30" s="4" t="s">
        <v>146</v>
      </c>
      <c r="B30" s="4" t="s">
        <v>147</v>
      </c>
      <c r="C30" s="4" t="s">
        <v>148</v>
      </c>
      <c r="D30" s="4" t="s">
        <v>149</v>
      </c>
      <c r="E30" s="4" t="s">
        <v>150</v>
      </c>
      <c r="F30" s="8" t="b">
        <f t="shared" si="1"/>
        <v>0</v>
      </c>
      <c r="G30" s="8" t="b">
        <f t="shared" si="2"/>
        <v>0</v>
      </c>
    </row>
    <row r="31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155</v>
      </c>
      <c r="F31" s="8" t="b">
        <f t="shared" si="1"/>
        <v>0</v>
      </c>
      <c r="G31" s="8" t="b">
        <f t="shared" si="2"/>
        <v>0</v>
      </c>
    </row>
    <row r="32">
      <c r="A32" s="4" t="s">
        <v>156</v>
      </c>
      <c r="B32" s="4" t="s">
        <v>157</v>
      </c>
      <c r="C32" s="4" t="s">
        <v>158</v>
      </c>
      <c r="D32" s="4" t="s">
        <v>159</v>
      </c>
      <c r="E32" s="4" t="s">
        <v>160</v>
      </c>
      <c r="F32" s="8" t="b">
        <f t="shared" si="1"/>
        <v>0</v>
      </c>
      <c r="G32" s="8" t="b">
        <f t="shared" si="2"/>
        <v>0</v>
      </c>
    </row>
    <row r="33">
      <c r="A33" s="4" t="s">
        <v>161</v>
      </c>
      <c r="B33" s="4" t="s">
        <v>162</v>
      </c>
      <c r="C33" s="4" t="s">
        <v>163</v>
      </c>
      <c r="D33" s="4" t="s">
        <v>164</v>
      </c>
      <c r="E33" s="4" t="s">
        <v>165</v>
      </c>
      <c r="F33" s="8" t="b">
        <f t="shared" si="1"/>
        <v>0</v>
      </c>
      <c r="G33" s="8" t="b">
        <f t="shared" si="2"/>
        <v>0</v>
      </c>
    </row>
    <row r="34">
      <c r="A34" s="4" t="s">
        <v>166</v>
      </c>
      <c r="B34" s="4" t="s">
        <v>167</v>
      </c>
      <c r="C34" s="4" t="s">
        <v>168</v>
      </c>
      <c r="D34" s="4" t="s">
        <v>169</v>
      </c>
      <c r="E34" s="4" t="s">
        <v>170</v>
      </c>
      <c r="F34" s="8" t="b">
        <f t="shared" si="1"/>
        <v>0</v>
      </c>
      <c r="G34" s="8" t="b">
        <f t="shared" si="2"/>
        <v>0</v>
      </c>
    </row>
    <row r="35">
      <c r="A35" s="4" t="s">
        <v>171</v>
      </c>
      <c r="B35" s="4" t="s">
        <v>172</v>
      </c>
      <c r="C35" s="5">
        <v>45128.03974537037</v>
      </c>
      <c r="D35" s="4" t="s">
        <v>173</v>
      </c>
      <c r="E35" s="4" t="s">
        <v>174</v>
      </c>
      <c r="F35" s="7" t="b">
        <f t="shared" si="1"/>
        <v>1</v>
      </c>
      <c r="G35" s="7" t="b">
        <f t="shared" si="2"/>
        <v>1</v>
      </c>
    </row>
    <row r="36">
      <c r="A36" s="4" t="s">
        <v>175</v>
      </c>
      <c r="B36" s="4" t="s">
        <v>176</v>
      </c>
      <c r="C36" s="4" t="s">
        <v>177</v>
      </c>
      <c r="D36" s="4" t="s">
        <v>178</v>
      </c>
      <c r="E36" s="4" t="s">
        <v>179</v>
      </c>
      <c r="F36" s="8" t="b">
        <f t="shared" si="1"/>
        <v>0</v>
      </c>
      <c r="G36" s="8" t="b">
        <f t="shared" si="2"/>
        <v>0</v>
      </c>
    </row>
    <row r="37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184</v>
      </c>
      <c r="F37" s="8" t="b">
        <f t="shared" si="1"/>
        <v>0</v>
      </c>
      <c r="G37" s="8" t="b">
        <f t="shared" si="2"/>
        <v>0</v>
      </c>
    </row>
    <row r="38">
      <c r="A38" s="4" t="s">
        <v>185</v>
      </c>
      <c r="B38" s="4" t="s">
        <v>186</v>
      </c>
      <c r="C38" s="4" t="s">
        <v>187</v>
      </c>
      <c r="D38" s="4" t="s">
        <v>188</v>
      </c>
      <c r="E38" s="4" t="s">
        <v>189</v>
      </c>
      <c r="F38" s="8" t="b">
        <f t="shared" si="1"/>
        <v>0</v>
      </c>
      <c r="G38" s="8" t="b">
        <f t="shared" si="2"/>
        <v>0</v>
      </c>
    </row>
    <row r="39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194</v>
      </c>
      <c r="F39" s="8" t="b">
        <f t="shared" si="1"/>
        <v>0</v>
      </c>
      <c r="G39" s="8" t="b">
        <f t="shared" si="2"/>
        <v>0</v>
      </c>
    </row>
    <row r="40">
      <c r="A40" s="4" t="s">
        <v>195</v>
      </c>
      <c r="B40" s="4" t="s">
        <v>196</v>
      </c>
      <c r="C40" s="4" t="s">
        <v>197</v>
      </c>
      <c r="D40" s="4" t="s">
        <v>198</v>
      </c>
      <c r="E40" s="4" t="s">
        <v>199</v>
      </c>
      <c r="F40" s="8" t="b">
        <f t="shared" si="1"/>
        <v>0</v>
      </c>
      <c r="G40" s="8" t="b">
        <f t="shared" si="2"/>
        <v>0</v>
      </c>
    </row>
    <row r="41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204</v>
      </c>
      <c r="F41" s="8" t="b">
        <f t="shared" si="1"/>
        <v>0</v>
      </c>
      <c r="G41" s="8" t="b">
        <f t="shared" si="2"/>
        <v>0</v>
      </c>
    </row>
    <row r="42">
      <c r="A42" s="4" t="s">
        <v>205</v>
      </c>
      <c r="B42" s="4" t="s">
        <v>206</v>
      </c>
      <c r="C42" s="4" t="s">
        <v>207</v>
      </c>
      <c r="D42" s="4" t="s">
        <v>208</v>
      </c>
      <c r="E42" s="4" t="s">
        <v>209</v>
      </c>
      <c r="F42" s="8" t="b">
        <f t="shared" si="1"/>
        <v>0</v>
      </c>
      <c r="G42" s="8" t="b">
        <f t="shared" si="2"/>
        <v>0</v>
      </c>
    </row>
    <row r="43">
      <c r="A43" s="4" t="s">
        <v>210</v>
      </c>
      <c r="B43" s="4" t="s">
        <v>211</v>
      </c>
      <c r="C43" s="4" t="s">
        <v>212</v>
      </c>
      <c r="D43" s="4" t="s">
        <v>213</v>
      </c>
      <c r="E43" s="4" t="s">
        <v>214</v>
      </c>
      <c r="F43" s="8" t="b">
        <f t="shared" si="1"/>
        <v>0</v>
      </c>
      <c r="G43" s="8" t="b">
        <f t="shared" si="2"/>
        <v>0</v>
      </c>
    </row>
    <row r="44">
      <c r="A44" s="4" t="s">
        <v>215</v>
      </c>
      <c r="B44" s="4" t="s">
        <v>216</v>
      </c>
      <c r="C44" s="4" t="s">
        <v>217</v>
      </c>
      <c r="D44" s="4" t="s">
        <v>218</v>
      </c>
      <c r="E44" s="4" t="s">
        <v>219</v>
      </c>
      <c r="F44" s="8" t="b">
        <f t="shared" si="1"/>
        <v>0</v>
      </c>
      <c r="G44" s="8" t="b">
        <f t="shared" si="2"/>
        <v>0</v>
      </c>
    </row>
    <row r="45">
      <c r="A45" s="4" t="s">
        <v>220</v>
      </c>
      <c r="B45" s="4" t="s">
        <v>221</v>
      </c>
      <c r="C45" s="4" t="s">
        <v>222</v>
      </c>
      <c r="D45" s="4" t="s">
        <v>223</v>
      </c>
      <c r="E45" s="4" t="s">
        <v>224</v>
      </c>
      <c r="F45" s="8" t="b">
        <f t="shared" si="1"/>
        <v>0</v>
      </c>
      <c r="G45" s="8" t="b">
        <f t="shared" si="2"/>
        <v>0</v>
      </c>
    </row>
    <row r="46">
      <c r="A46" s="4" t="s">
        <v>225</v>
      </c>
      <c r="B46" s="4" t="s">
        <v>226</v>
      </c>
      <c r="C46" s="4" t="s">
        <v>227</v>
      </c>
      <c r="D46" s="4" t="s">
        <v>228</v>
      </c>
      <c r="E46" s="4" t="s">
        <v>229</v>
      </c>
      <c r="F46" s="8" t="b">
        <f t="shared" si="1"/>
        <v>0</v>
      </c>
      <c r="G46" s="8" t="b">
        <f t="shared" si="2"/>
        <v>0</v>
      </c>
    </row>
    <row r="47">
      <c r="A47" s="4" t="s">
        <v>230</v>
      </c>
      <c r="B47" s="4" t="s">
        <v>231</v>
      </c>
      <c r="C47" s="4" t="s">
        <v>232</v>
      </c>
      <c r="D47" s="4" t="s">
        <v>233</v>
      </c>
      <c r="E47" s="4" t="s">
        <v>234</v>
      </c>
      <c r="F47" s="8" t="b">
        <f t="shared" si="1"/>
        <v>0</v>
      </c>
      <c r="G47" s="8" t="b">
        <f t="shared" si="2"/>
        <v>0</v>
      </c>
    </row>
    <row r="48">
      <c r="A48" s="4" t="s">
        <v>235</v>
      </c>
      <c r="B48" s="4" t="s">
        <v>236</v>
      </c>
      <c r="C48" s="4" t="s">
        <v>237</v>
      </c>
      <c r="D48" s="4" t="s">
        <v>238</v>
      </c>
      <c r="E48" s="4" t="s">
        <v>239</v>
      </c>
      <c r="F48" s="8" t="b">
        <f t="shared" si="1"/>
        <v>0</v>
      </c>
      <c r="G48" s="8" t="b">
        <f t="shared" si="2"/>
        <v>0</v>
      </c>
    </row>
    <row r="49">
      <c r="A49" s="4" t="s">
        <v>240</v>
      </c>
      <c r="B49" s="4" t="s">
        <v>241</v>
      </c>
      <c r="C49" s="4" t="s">
        <v>242</v>
      </c>
      <c r="D49" s="4" t="s">
        <v>243</v>
      </c>
      <c r="E49" s="4" t="s">
        <v>244</v>
      </c>
      <c r="F49" s="8" t="b">
        <f t="shared" si="1"/>
        <v>0</v>
      </c>
      <c r="G49" s="8" t="b">
        <f t="shared" si="2"/>
        <v>0</v>
      </c>
    </row>
    <row r="50">
      <c r="A50" s="4" t="s">
        <v>245</v>
      </c>
      <c r="B50" s="4" t="s">
        <v>246</v>
      </c>
      <c r="C50" s="4" t="s">
        <v>247</v>
      </c>
      <c r="D50" s="4" t="s">
        <v>248</v>
      </c>
      <c r="E50" s="4" t="s">
        <v>249</v>
      </c>
      <c r="F50" s="8" t="b">
        <f t="shared" si="1"/>
        <v>0</v>
      </c>
      <c r="G50" s="8" t="b">
        <f t="shared" si="2"/>
        <v>0</v>
      </c>
    </row>
    <row r="51">
      <c r="A51" s="4" t="s">
        <v>250</v>
      </c>
      <c r="B51" s="4" t="s">
        <v>251</v>
      </c>
      <c r="C51" s="4" t="s">
        <v>252</v>
      </c>
      <c r="D51" s="4" t="s">
        <v>253</v>
      </c>
      <c r="E51" s="4" t="s">
        <v>254</v>
      </c>
      <c r="F51" s="8" t="b">
        <f t="shared" si="1"/>
        <v>0</v>
      </c>
      <c r="G51" s="8" t="b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0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5"/>
  </cols>
  <sheetData>
    <row r="1"/>
    <row r="2"/>
    <row r="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88"/>
    <col customWidth="1" min="4" max="4" width="21.75"/>
  </cols>
  <sheetData>
    <row r="1">
      <c r="A1" s="1" t="s">
        <v>4</v>
      </c>
      <c r="B1" s="2" t="s">
        <v>256</v>
      </c>
      <c r="C1" s="2" t="s">
        <v>257</v>
      </c>
      <c r="D1" s="10" t="s">
        <v>258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10</v>
      </c>
      <c r="B2" s="5">
        <v>44429.560277777775</v>
      </c>
      <c r="C2" s="6">
        <v>3.0</v>
      </c>
      <c r="D2" s="7" t="str">
        <f t="array" ref="D2">INDEX(ticket!B:B, MATCH(A2, ticket!E:E, 0))</f>
        <v>2023-09-21 07:33:32</v>
      </c>
    </row>
    <row r="3">
      <c r="A3" s="4" t="s">
        <v>15</v>
      </c>
      <c r="B3" s="5">
        <v>44430.560277777775</v>
      </c>
      <c r="C3" s="6">
        <v>2.0</v>
      </c>
      <c r="D3" s="7" t="str">
        <f t="array" ref="D3">INDEX(ticket!B:B, MATCH(A3, ticket!E:E, 0))</f>
        <v>2021-03-09 11:56:59</v>
      </c>
    </row>
    <row r="4">
      <c r="A4" s="4" t="s">
        <v>20</v>
      </c>
      <c r="B4" s="5">
        <v>44431.560277777775</v>
      </c>
      <c r="C4" s="6">
        <v>4.0</v>
      </c>
      <c r="D4" s="7" t="str">
        <f t="array" ref="D4">INDEX(ticket!B:B, MATCH(A4, ticket!E:E, 0))</f>
        <v>2022-02-20 22:06:12</v>
      </c>
    </row>
    <row r="5">
      <c r="A5" s="4" t="s">
        <v>25</v>
      </c>
      <c r="B5" s="5">
        <v>44432.560277777775</v>
      </c>
      <c r="C5" s="6">
        <v>5.0</v>
      </c>
      <c r="D5" s="7" t="str">
        <f t="array" ref="D5">INDEX(ticket!B:B, MATCH(A5, ticket!E:E, 0))</f>
        <v>2022-04-01 22:28:40</v>
      </c>
    </row>
    <row r="6">
      <c r="A6" s="4" t="s">
        <v>30</v>
      </c>
      <c r="B6" s="5">
        <v>44433.560277777775</v>
      </c>
      <c r="C6" s="6">
        <v>3.0</v>
      </c>
      <c r="D6" s="7" t="str">
        <f t="array" ref="D6">INDEX(ticket!B:B, MATCH(A6, ticket!E:E, 0))</f>
        <v>2023-10-22 21:17:36</v>
      </c>
    </row>
    <row r="7">
      <c r="A7" s="4" t="s">
        <v>35</v>
      </c>
      <c r="B7" s="5">
        <v>44434.560277777775</v>
      </c>
      <c r="C7" s="6">
        <v>2.0</v>
      </c>
      <c r="D7" s="7" t="str">
        <f t="array" ref="D7">INDEX(ticket!B:B, MATCH(A7, ticket!E:E, 0))</f>
        <v>2023-01-05 06:27:11</v>
      </c>
    </row>
    <row r="8">
      <c r="A8" s="4" t="s">
        <v>40</v>
      </c>
      <c r="B8" s="5">
        <v>44435.560277777775</v>
      </c>
      <c r="C8" s="6">
        <v>4.0</v>
      </c>
      <c r="D8" s="7" t="str">
        <f t="array" ref="D8">INDEX(ticket!B:B, MATCH(A8, ticket!E:E, 0))</f>
        <v>2022-09-15 23:51:56</v>
      </c>
    </row>
    <row r="9">
      <c r="A9" s="4" t="s">
        <v>45</v>
      </c>
      <c r="B9" s="5">
        <v>44436.560277777775</v>
      </c>
      <c r="C9" s="6">
        <v>5.0</v>
      </c>
      <c r="D9" s="7" t="str">
        <f t="array" ref="D9">INDEX(ticket!B:B, MATCH(A9, ticket!E:E, 0))</f>
        <v>2023-03-24 02:45:08</v>
      </c>
    </row>
    <row r="10">
      <c r="A10" s="4" t="s">
        <v>50</v>
      </c>
      <c r="B10" s="5">
        <v>44437.560277777775</v>
      </c>
      <c r="C10" s="6">
        <v>3.0</v>
      </c>
      <c r="D10" s="7" t="str">
        <f t="array" ref="D10">INDEX(ticket!B:B, MATCH(A10, ticket!E:E, 0))</f>
        <v>2021-11-24 04:50:33</v>
      </c>
    </row>
    <row r="11">
      <c r="A11" s="4" t="s">
        <v>55</v>
      </c>
      <c r="B11" s="5">
        <v>44438.560277777775</v>
      </c>
      <c r="C11" s="6">
        <v>2.0</v>
      </c>
      <c r="D11" s="7" t="str">
        <f t="array" ref="D11">INDEX(ticket!B:B, MATCH(A11, ticket!E:E, 0))</f>
        <v>2023-11-03 01:04:47</v>
      </c>
    </row>
    <row r="12">
      <c r="A12" s="4" t="s">
        <v>60</v>
      </c>
      <c r="B12" s="5">
        <v>44439.560277777775</v>
      </c>
      <c r="C12" s="6">
        <v>4.0</v>
      </c>
      <c r="D12" s="7" t="str">
        <f t="array" ref="D12">INDEX(ticket!B:B, MATCH(A12, ticket!E:E, 0))</f>
        <v>2022-03-09 19:04:29</v>
      </c>
    </row>
    <row r="13">
      <c r="A13" s="4" t="s">
        <v>65</v>
      </c>
      <c r="B13" s="5">
        <v>44440.560277777775</v>
      </c>
      <c r="C13" s="6">
        <v>5.0</v>
      </c>
      <c r="D13" s="7" t="str">
        <f t="array" ref="D13">INDEX(ticket!B:B, MATCH(A13, ticket!E:E, 0))</f>
        <v>2022-04-26 10:58:04</v>
      </c>
    </row>
    <row r="14">
      <c r="A14" s="4" t="s">
        <v>70</v>
      </c>
      <c r="B14" s="5">
        <v>44441.560277777775</v>
      </c>
      <c r="C14" s="6">
        <v>3.0</v>
      </c>
      <c r="D14" s="7" t="str">
        <f t="array" ref="D14">INDEX(ticket!B:B, MATCH(A14, ticket!E:E, 0))</f>
        <v>2021-04-24 03:13:59</v>
      </c>
    </row>
    <row r="15">
      <c r="A15" s="4" t="s">
        <v>75</v>
      </c>
      <c r="B15" s="5">
        <v>44442.560277777775</v>
      </c>
      <c r="C15" s="6">
        <v>2.0</v>
      </c>
      <c r="D15" s="7" t="str">
        <f t="array" ref="D15">INDEX(ticket!B:B, MATCH(A15, ticket!E:E, 0))</f>
        <v>2023-01-23 19:05:10</v>
      </c>
    </row>
    <row r="16">
      <c r="A16" s="4" t="s">
        <v>80</v>
      </c>
      <c r="B16" s="5">
        <v>44443.560277777775</v>
      </c>
      <c r="C16" s="6">
        <v>4.0</v>
      </c>
      <c r="D16" s="7" t="str">
        <f t="array" ref="D16">INDEX(ticket!B:B, MATCH(A16, ticket!E:E, 0))</f>
        <v>2021-02-15 02:07:25</v>
      </c>
    </row>
    <row r="17">
      <c r="A17" s="4" t="s">
        <v>85</v>
      </c>
      <c r="B17" s="5">
        <v>44444.560277777775</v>
      </c>
      <c r="C17" s="6">
        <v>5.0</v>
      </c>
      <c r="D17" s="7" t="str">
        <f t="array" ref="D17">INDEX(ticket!B:B, MATCH(A17, ticket!E:E, 0))</f>
        <v>2023-08-24 05:04:20</v>
      </c>
    </row>
    <row r="18">
      <c r="A18" s="4" t="s">
        <v>90</v>
      </c>
      <c r="B18" s="5">
        <v>44445.560277777775</v>
      </c>
      <c r="C18" s="6">
        <v>3.0</v>
      </c>
      <c r="D18" s="7" t="str">
        <f t="array" ref="D18">INDEX(ticket!B:B, MATCH(A18, ticket!E:E, 0))</f>
        <v>2023-02-25 23:35:07</v>
      </c>
    </row>
    <row r="19">
      <c r="A19" s="4" t="s">
        <v>95</v>
      </c>
      <c r="B19" s="5">
        <v>44446.560277777775</v>
      </c>
      <c r="C19" s="6">
        <v>2.0</v>
      </c>
      <c r="D19" s="7" t="str">
        <f t="array" ref="D19">INDEX(ticket!B:B, MATCH(A19, ticket!E:E, 0))</f>
        <v>2022-01-10 22:24:20</v>
      </c>
    </row>
    <row r="20">
      <c r="A20" s="4" t="s">
        <v>100</v>
      </c>
      <c r="B20" s="5">
        <v>44447.560277777775</v>
      </c>
      <c r="C20" s="6">
        <v>4.0</v>
      </c>
      <c r="D20" s="7" t="str">
        <f t="array" ref="D20">INDEX(ticket!B:B, MATCH(A20, ticket!E:E, 0))</f>
        <v>2021-10-06 18:03:56</v>
      </c>
    </row>
    <row r="21">
      <c r="A21" s="4" t="s">
        <v>105</v>
      </c>
      <c r="B21" s="5">
        <v>44448.560277777775</v>
      </c>
      <c r="C21" s="6">
        <v>5.0</v>
      </c>
      <c r="D21" s="7" t="str">
        <f t="array" ref="D21">INDEX(ticket!B:B, MATCH(A21, ticket!E:E, 0))</f>
        <v>2022-08-14 21:31:14</v>
      </c>
    </row>
    <row r="22">
      <c r="A22" s="4" t="s">
        <v>110</v>
      </c>
      <c r="B22" s="5">
        <v>44449.560277777775</v>
      </c>
      <c r="C22" s="6">
        <v>3.0</v>
      </c>
      <c r="D22" s="7" t="str">
        <f t="array" ref="D22">INDEX(ticket!B:B, MATCH(A22, ticket!E:E, 0))</f>
        <v>2022-02-17 15:29:46</v>
      </c>
    </row>
    <row r="23">
      <c r="A23" s="4" t="s">
        <v>115</v>
      </c>
      <c r="B23" s="5">
        <v>44450.560277777775</v>
      </c>
      <c r="C23" s="6">
        <v>2.0</v>
      </c>
      <c r="D23" s="7" t="str">
        <f t="array" ref="D23">INDEX(ticket!B:B, MATCH(A23, ticket!E:E, 0))</f>
        <v>2022-06-02 18:38:15</v>
      </c>
    </row>
    <row r="24">
      <c r="A24" s="4" t="s">
        <v>120</v>
      </c>
      <c r="B24" s="5">
        <v>44451.560277777775</v>
      </c>
      <c r="C24" s="6">
        <v>4.0</v>
      </c>
      <c r="D24" s="7" t="str">
        <f t="array" ref="D24">INDEX(ticket!B:B, MATCH(A24, ticket!E:E, 0))</f>
        <v>2022-04-28 17:36:17</v>
      </c>
    </row>
    <row r="25">
      <c r="A25" s="4" t="s">
        <v>125</v>
      </c>
      <c r="B25" s="5">
        <v>44452.560277777775</v>
      </c>
      <c r="C25" s="6">
        <v>5.0</v>
      </c>
      <c r="D25" s="7" t="str">
        <f t="array" ref="D25">INDEX(ticket!B:B, MATCH(A25, ticket!E:E, 0))</f>
        <v>2022-06-01 10:15:35</v>
      </c>
    </row>
    <row r="26">
      <c r="A26" s="4" t="s">
        <v>130</v>
      </c>
      <c r="B26" s="5">
        <v>44453.560277777775</v>
      </c>
      <c r="C26" s="6">
        <v>3.0</v>
      </c>
      <c r="D26" s="7" t="str">
        <f t="array" ref="D26">INDEX(ticket!B:B, MATCH(A26, ticket!E:E, 0))</f>
        <v>2023-11-14 13:52:10</v>
      </c>
    </row>
    <row r="27">
      <c r="A27" s="4" t="s">
        <v>135</v>
      </c>
      <c r="B27" s="5">
        <v>44454.560277777775</v>
      </c>
      <c r="C27" s="6">
        <v>2.0</v>
      </c>
      <c r="D27" s="7" t="str">
        <f t="array" ref="D27">INDEX(ticket!B:B, MATCH(A27, ticket!E:E, 0))</f>
        <v>2023-06-25 21:40:25</v>
      </c>
    </row>
    <row r="28">
      <c r="A28" s="4" t="s">
        <v>140</v>
      </c>
      <c r="B28" s="5">
        <v>44455.560277777775</v>
      </c>
      <c r="C28" s="6">
        <v>4.0</v>
      </c>
      <c r="D28" s="7" t="str">
        <f t="array" ref="D28">INDEX(ticket!B:B, MATCH(A28, ticket!E:E, 0))</f>
        <v>2021-12-24 11:26:07</v>
      </c>
    </row>
    <row r="29">
      <c r="A29" s="4" t="s">
        <v>145</v>
      </c>
      <c r="B29" s="5">
        <v>44456.560277777775</v>
      </c>
      <c r="C29" s="6">
        <v>5.0</v>
      </c>
      <c r="D29" s="7" t="str">
        <f t="array" ref="D29">INDEX(ticket!B:B, MATCH(A29, ticket!E:E, 0))</f>
        <v>2021-05-21 06:44:06</v>
      </c>
    </row>
    <row r="30">
      <c r="A30" s="4" t="s">
        <v>150</v>
      </c>
      <c r="B30" s="5">
        <v>44457.560277777775</v>
      </c>
      <c r="C30" s="6">
        <v>3.0</v>
      </c>
      <c r="D30" s="7" t="str">
        <f t="array" ref="D30">INDEX(ticket!B:B, MATCH(A30, ticket!E:E, 0))</f>
        <v>2023-08-15 09:10:41</v>
      </c>
    </row>
    <row r="31">
      <c r="A31" s="4" t="s">
        <v>155</v>
      </c>
      <c r="B31" s="5">
        <v>44458.560277777775</v>
      </c>
      <c r="C31" s="6">
        <v>2.0</v>
      </c>
      <c r="D31" s="7" t="str">
        <f t="array" ref="D31">INDEX(ticket!B:B, MATCH(A31, ticket!E:E, 0))</f>
        <v>2023-04-20 04:41:31</v>
      </c>
    </row>
    <row r="32">
      <c r="A32" s="4" t="s">
        <v>160</v>
      </c>
      <c r="B32" s="5">
        <v>44459.560277777775</v>
      </c>
      <c r="C32" s="6">
        <v>4.0</v>
      </c>
      <c r="D32" s="7" t="str">
        <f t="array" ref="D32">INDEX(ticket!B:B, MATCH(A32, ticket!E:E, 0))</f>
        <v>2021-04-25 03:55:56</v>
      </c>
    </row>
    <row r="33">
      <c r="A33" s="4" t="s">
        <v>165</v>
      </c>
      <c r="B33" s="5">
        <v>44460.560277777775</v>
      </c>
      <c r="C33" s="6">
        <v>5.0</v>
      </c>
      <c r="D33" s="7" t="str">
        <f t="array" ref="D33">INDEX(ticket!B:B, MATCH(A33, ticket!E:E, 0))</f>
        <v>2023-07-01 01:00:10</v>
      </c>
    </row>
    <row r="34">
      <c r="A34" s="4" t="s">
        <v>170</v>
      </c>
      <c r="B34" s="5">
        <v>44461.560277777775</v>
      </c>
      <c r="C34" s="6">
        <v>3.0</v>
      </c>
      <c r="D34" s="7" t="str">
        <f t="array" ref="D34">INDEX(ticket!B:B, MATCH(A34, ticket!E:E, 0))</f>
        <v>2021-10-09 19:17:21</v>
      </c>
    </row>
    <row r="35">
      <c r="A35" s="4" t="s">
        <v>174</v>
      </c>
      <c r="B35" s="5">
        <v>44462.560277777775</v>
      </c>
      <c r="C35" s="6">
        <v>2.0</v>
      </c>
      <c r="D35" s="7" t="str">
        <f t="array" ref="D35">INDEX(ticket!B:B, MATCH(A35, ticket!E:E, 0))</f>
        <v>2023-07-21 00:27:14</v>
      </c>
    </row>
    <row r="36">
      <c r="A36" s="4" t="s">
        <v>179</v>
      </c>
      <c r="B36" s="5">
        <v>44463.560277777775</v>
      </c>
      <c r="C36" s="6">
        <v>4.0</v>
      </c>
      <c r="D36" s="7" t="str">
        <f t="array" ref="D36">INDEX(ticket!B:B, MATCH(A36, ticket!E:E, 0))</f>
        <v>2022-11-08 19:11:53</v>
      </c>
    </row>
    <row r="37">
      <c r="A37" s="4" t="s">
        <v>184</v>
      </c>
      <c r="B37" s="5">
        <v>44464.560277777775</v>
      </c>
      <c r="C37" s="6">
        <v>5.0</v>
      </c>
      <c r="D37" s="7" t="str">
        <f t="array" ref="D37">INDEX(ticket!B:B, MATCH(A37, ticket!E:E, 0))</f>
        <v>2022-11-18 22:42:41</v>
      </c>
    </row>
    <row r="38">
      <c r="A38" s="4" t="s">
        <v>189</v>
      </c>
      <c r="B38" s="5">
        <v>44465.560277777775</v>
      </c>
      <c r="C38" s="6">
        <v>3.0</v>
      </c>
      <c r="D38" s="7" t="str">
        <f t="array" ref="D38">INDEX(ticket!B:B, MATCH(A38, ticket!E:E, 0))</f>
        <v>2021-09-04 14:29:15</v>
      </c>
    </row>
    <row r="39">
      <c r="A39" s="4" t="s">
        <v>194</v>
      </c>
      <c r="B39" s="5">
        <v>44466.560277777775</v>
      </c>
      <c r="C39" s="6">
        <v>2.0</v>
      </c>
      <c r="D39" s="7" t="str">
        <f t="array" ref="D39">INDEX(ticket!B:B, MATCH(A39, ticket!E:E, 0))</f>
        <v>2022-04-25 19:21:42</v>
      </c>
    </row>
    <row r="40">
      <c r="A40" s="4" t="s">
        <v>199</v>
      </c>
      <c r="B40" s="5">
        <v>44467.560277777775</v>
      </c>
      <c r="C40" s="6">
        <v>4.0</v>
      </c>
      <c r="D40" s="7" t="str">
        <f t="array" ref="D40">INDEX(ticket!B:B, MATCH(A40, ticket!E:E, 0))</f>
        <v>2022-11-16 10:39:42</v>
      </c>
    </row>
    <row r="41">
      <c r="A41" s="4" t="s">
        <v>204</v>
      </c>
      <c r="B41" s="5">
        <v>44468.560277777775</v>
      </c>
      <c r="C41" s="6">
        <v>5.0</v>
      </c>
      <c r="D41" s="7" t="str">
        <f t="array" ref="D41">INDEX(ticket!B:B, MATCH(A41, ticket!E:E, 0))</f>
        <v>2022-05-11 01:25:59</v>
      </c>
    </row>
    <row r="42">
      <c r="A42" s="4" t="s">
        <v>209</v>
      </c>
      <c r="B42" s="5">
        <v>44469.560277777775</v>
      </c>
      <c r="C42" s="6">
        <v>3.0</v>
      </c>
      <c r="D42" s="7" t="str">
        <f t="array" ref="D42">INDEX(ticket!B:B, MATCH(A42, ticket!E:E, 0))</f>
        <v>2021-10-18 23:34:07</v>
      </c>
    </row>
    <row r="43">
      <c r="A43" s="4" t="s">
        <v>214</v>
      </c>
      <c r="B43" s="5">
        <v>44470.560277777775</v>
      </c>
      <c r="C43" s="6">
        <v>2.0</v>
      </c>
      <c r="D43" s="7" t="str">
        <f t="array" ref="D43">INDEX(ticket!B:B, MATCH(A43, ticket!E:E, 0))</f>
        <v>2021-03-07 02:22:00</v>
      </c>
    </row>
    <row r="44">
      <c r="A44" s="4" t="s">
        <v>219</v>
      </c>
      <c r="B44" s="5">
        <v>44471.560277777775</v>
      </c>
      <c r="C44" s="6">
        <v>4.0</v>
      </c>
      <c r="D44" s="7" t="str">
        <f t="array" ref="D44">INDEX(ticket!B:B, MATCH(A44, ticket!E:E, 0))</f>
        <v>2022-10-24 22:45:31</v>
      </c>
    </row>
    <row r="45">
      <c r="A45" s="4" t="s">
        <v>224</v>
      </c>
      <c r="B45" s="5">
        <v>44472.560277777775</v>
      </c>
      <c r="C45" s="6">
        <v>5.0</v>
      </c>
      <c r="D45" s="7" t="str">
        <f t="array" ref="D45">INDEX(ticket!B:B, MATCH(A45, ticket!E:E, 0))</f>
        <v>2022-05-04 09:08:19</v>
      </c>
    </row>
    <row r="46">
      <c r="A46" s="4" t="s">
        <v>229</v>
      </c>
      <c r="B46" s="5">
        <v>44473.560277777775</v>
      </c>
      <c r="C46" s="6">
        <v>3.0</v>
      </c>
      <c r="D46" s="7" t="str">
        <f t="array" ref="D46">INDEX(ticket!B:B, MATCH(A46, ticket!E:E, 0))</f>
        <v>2021-08-04 17:42:18</v>
      </c>
    </row>
    <row r="47">
      <c r="A47" s="4" t="s">
        <v>234</v>
      </c>
      <c r="B47" s="5">
        <v>44474.560277777775</v>
      </c>
      <c r="C47" s="6">
        <v>2.0</v>
      </c>
      <c r="D47" s="7" t="str">
        <f t="array" ref="D47">INDEX(ticket!B:B, MATCH(A47, ticket!E:E, 0))</f>
        <v>2021-11-01 22:39:57</v>
      </c>
    </row>
    <row r="48">
      <c r="A48" s="4" t="s">
        <v>239</v>
      </c>
      <c r="B48" s="5">
        <v>44475.560277777775</v>
      </c>
      <c r="C48" s="6">
        <v>4.0</v>
      </c>
      <c r="D48" s="7" t="str">
        <f t="array" ref="D48">INDEX(ticket!B:B, MATCH(A48, ticket!E:E, 0))</f>
        <v>2022-11-14 21:40:51</v>
      </c>
    </row>
    <row r="49">
      <c r="A49" s="4" t="s">
        <v>244</v>
      </c>
      <c r="B49" s="5">
        <v>44476.560277777775</v>
      </c>
      <c r="C49" s="6">
        <v>5.0</v>
      </c>
      <c r="D49" s="7" t="str">
        <f t="array" ref="D49">INDEX(ticket!B:B, MATCH(A49, ticket!E:E, 0))</f>
        <v>2022-12-12 06:47:37</v>
      </c>
    </row>
    <row r="50">
      <c r="A50" s="4" t="s">
        <v>249</v>
      </c>
      <c r="B50" s="5">
        <v>44477.560277777775</v>
      </c>
      <c r="C50" s="6">
        <v>3.0</v>
      </c>
      <c r="D50" s="7" t="str">
        <f t="array" ref="D50">INDEX(ticket!B:B, MATCH(A50, ticket!E:E, 0))</f>
        <v>2021-03-04 12:48:42</v>
      </c>
    </row>
    <row r="51">
      <c r="A51" s="4" t="s">
        <v>254</v>
      </c>
      <c r="B51" s="5">
        <v>44478.560277777775</v>
      </c>
      <c r="C51" s="6">
        <v>2.0</v>
      </c>
      <c r="D51" s="7" t="str">
        <f t="array" ref="D51">INDEX(ticket!B:B, MATCH(A51, ticket!E:E, 0))</f>
        <v>2023-01-17 08:25:44</v>
      </c>
    </row>
    <row r="52">
      <c r="C52" s="6"/>
      <c r="D52" s="11"/>
    </row>
    <row r="53">
      <c r="C53" s="6"/>
      <c r="D53" s="11"/>
    </row>
    <row r="54">
      <c r="D54" s="11"/>
    </row>
    <row r="55">
      <c r="D55" s="11"/>
    </row>
    <row r="56">
      <c r="D56" s="11"/>
    </row>
    <row r="57">
      <c r="D57" s="11"/>
    </row>
    <row r="58">
      <c r="D58" s="11"/>
    </row>
    <row r="59">
      <c r="D59" s="11"/>
    </row>
    <row r="60">
      <c r="D60" s="11"/>
    </row>
    <row r="61">
      <c r="D61" s="11"/>
    </row>
    <row r="62">
      <c r="D62" s="11"/>
    </row>
    <row r="63">
      <c r="D63" s="11"/>
    </row>
    <row r="64">
      <c r="D64" s="11"/>
    </row>
    <row r="65">
      <c r="D65" s="11"/>
    </row>
    <row r="66">
      <c r="D66" s="11"/>
    </row>
    <row r="67">
      <c r="D67" s="11"/>
    </row>
    <row r="68">
      <c r="D68" s="11"/>
    </row>
    <row r="69">
      <c r="D69" s="11"/>
    </row>
    <row r="70">
      <c r="D70" s="11"/>
    </row>
    <row r="71">
      <c r="D71" s="11"/>
    </row>
    <row r="72">
      <c r="D72" s="11"/>
    </row>
    <row r="73">
      <c r="D73" s="11"/>
    </row>
    <row r="74">
      <c r="D74" s="11"/>
    </row>
    <row r="75">
      <c r="D75" s="11"/>
    </row>
    <row r="76">
      <c r="D76" s="11"/>
    </row>
    <row r="77">
      <c r="D77" s="11"/>
    </row>
    <row r="78">
      <c r="D78" s="11"/>
    </row>
    <row r="79">
      <c r="D79" s="11"/>
    </row>
    <row r="80">
      <c r="D80" s="11"/>
    </row>
    <row r="81">
      <c r="D81" s="11"/>
    </row>
    <row r="82">
      <c r="D82" s="11"/>
    </row>
    <row r="83">
      <c r="D83" s="11"/>
    </row>
    <row r="84">
      <c r="D84" s="11"/>
    </row>
    <row r="85">
      <c r="D85" s="11"/>
    </row>
    <row r="86">
      <c r="D86" s="11"/>
    </row>
    <row r="87">
      <c r="D87" s="11"/>
    </row>
    <row r="88">
      <c r="D88" s="11"/>
    </row>
    <row r="89">
      <c r="D89" s="11"/>
    </row>
    <row r="90">
      <c r="D90" s="11"/>
    </row>
    <row r="91">
      <c r="D91" s="11"/>
    </row>
    <row r="92">
      <c r="D92" s="11"/>
    </row>
    <row r="93">
      <c r="D93" s="11"/>
    </row>
    <row r="94">
      <c r="D94" s="11"/>
    </row>
    <row r="95">
      <c r="D95" s="11"/>
    </row>
    <row r="96">
      <c r="D96" s="11"/>
    </row>
    <row r="97">
      <c r="D97" s="11"/>
    </row>
    <row r="98">
      <c r="D98" s="11"/>
    </row>
    <row r="99">
      <c r="D99" s="11"/>
    </row>
    <row r="100">
      <c r="D100" s="11"/>
    </row>
    <row r="101">
      <c r="D101" s="11"/>
    </row>
    <row r="102">
      <c r="D102" s="11"/>
    </row>
    <row r="103">
      <c r="D103" s="11"/>
    </row>
    <row r="104">
      <c r="D104" s="11"/>
    </row>
    <row r="105">
      <c r="D105" s="11"/>
    </row>
    <row r="106">
      <c r="D106" s="11"/>
    </row>
    <row r="107">
      <c r="D107" s="11"/>
    </row>
    <row r="108">
      <c r="D108" s="11"/>
    </row>
    <row r="109">
      <c r="D109" s="11"/>
    </row>
    <row r="110">
      <c r="D110" s="11"/>
    </row>
    <row r="111">
      <c r="D111" s="11"/>
    </row>
    <row r="112">
      <c r="D112" s="11"/>
    </row>
    <row r="113">
      <c r="D113" s="11"/>
    </row>
    <row r="114">
      <c r="D114" s="11"/>
    </row>
    <row r="115">
      <c r="D115" s="11"/>
    </row>
    <row r="116">
      <c r="D116" s="11"/>
    </row>
    <row r="117">
      <c r="D117" s="11"/>
    </row>
    <row r="118">
      <c r="D118" s="11"/>
    </row>
    <row r="119">
      <c r="D119" s="11"/>
    </row>
    <row r="120">
      <c r="D120" s="11"/>
    </row>
    <row r="121">
      <c r="D121" s="11"/>
    </row>
    <row r="122">
      <c r="D122" s="11"/>
    </row>
    <row r="123">
      <c r="D123" s="11"/>
    </row>
    <row r="124">
      <c r="D124" s="11"/>
    </row>
    <row r="125">
      <c r="D125" s="11"/>
    </row>
    <row r="126">
      <c r="D126" s="11"/>
    </row>
    <row r="127">
      <c r="D127" s="11"/>
    </row>
    <row r="128">
      <c r="D128" s="11"/>
    </row>
    <row r="129">
      <c r="D129" s="11"/>
    </row>
    <row r="130">
      <c r="D130" s="11"/>
    </row>
    <row r="131">
      <c r="D131" s="11"/>
    </row>
    <row r="132">
      <c r="D132" s="11"/>
    </row>
    <row r="133">
      <c r="D133" s="11"/>
    </row>
    <row r="134">
      <c r="D134" s="11"/>
    </row>
    <row r="135">
      <c r="D135" s="11"/>
    </row>
    <row r="136">
      <c r="D136" s="11"/>
    </row>
    <row r="137">
      <c r="D137" s="11"/>
    </row>
    <row r="138">
      <c r="D138" s="11"/>
    </row>
    <row r="139">
      <c r="D139" s="11"/>
    </row>
    <row r="140">
      <c r="D140" s="11"/>
    </row>
    <row r="141">
      <c r="D141" s="11"/>
    </row>
    <row r="142">
      <c r="D142" s="11"/>
    </row>
    <row r="143">
      <c r="D143" s="11"/>
    </row>
    <row r="144">
      <c r="D144" s="11"/>
    </row>
    <row r="145">
      <c r="D145" s="11"/>
    </row>
    <row r="146">
      <c r="D146" s="11"/>
    </row>
    <row r="147">
      <c r="D147" s="11"/>
    </row>
    <row r="148">
      <c r="D148" s="11"/>
    </row>
    <row r="149">
      <c r="D149" s="11"/>
    </row>
    <row r="150">
      <c r="D150" s="11"/>
    </row>
    <row r="151">
      <c r="D151" s="11"/>
    </row>
    <row r="152">
      <c r="D152" s="11"/>
    </row>
    <row r="153">
      <c r="D153" s="11"/>
    </row>
    <row r="154">
      <c r="D154" s="11"/>
    </row>
    <row r="155">
      <c r="D155" s="11"/>
    </row>
    <row r="156">
      <c r="D156" s="11"/>
    </row>
    <row r="157">
      <c r="D157" s="11"/>
    </row>
    <row r="158">
      <c r="D158" s="11"/>
    </row>
    <row r="159">
      <c r="D159" s="11"/>
    </row>
    <row r="160">
      <c r="D160" s="11"/>
    </row>
    <row r="161">
      <c r="D161" s="11"/>
    </row>
    <row r="162">
      <c r="D162" s="11"/>
    </row>
    <row r="163">
      <c r="D163" s="11"/>
    </row>
    <row r="164">
      <c r="D164" s="11"/>
    </row>
    <row r="165">
      <c r="D165" s="11"/>
    </row>
    <row r="166">
      <c r="D166" s="11"/>
    </row>
    <row r="167">
      <c r="D167" s="11"/>
    </row>
    <row r="168">
      <c r="D168" s="11"/>
    </row>
    <row r="169">
      <c r="D169" s="11"/>
    </row>
    <row r="170">
      <c r="D170" s="11"/>
    </row>
    <row r="171">
      <c r="D171" s="11"/>
    </row>
    <row r="172">
      <c r="D172" s="11"/>
    </row>
    <row r="173">
      <c r="D173" s="11"/>
    </row>
    <row r="174">
      <c r="D174" s="11"/>
    </row>
    <row r="175">
      <c r="D175" s="11"/>
    </row>
    <row r="176">
      <c r="D176" s="11"/>
    </row>
    <row r="177">
      <c r="D177" s="11"/>
    </row>
    <row r="178">
      <c r="D178" s="11"/>
    </row>
    <row r="179">
      <c r="D179" s="11"/>
    </row>
    <row r="180">
      <c r="D180" s="11"/>
    </row>
    <row r="181">
      <c r="D181" s="11"/>
    </row>
    <row r="182">
      <c r="D182" s="11"/>
    </row>
    <row r="183">
      <c r="D183" s="11"/>
    </row>
    <row r="184">
      <c r="D184" s="11"/>
    </row>
    <row r="185">
      <c r="D185" s="11"/>
    </row>
    <row r="186">
      <c r="D186" s="11"/>
    </row>
    <row r="187">
      <c r="D187" s="11"/>
    </row>
    <row r="188">
      <c r="D188" s="11"/>
    </row>
    <row r="189">
      <c r="D189" s="11"/>
    </row>
    <row r="190">
      <c r="D190" s="11"/>
    </row>
    <row r="191">
      <c r="D191" s="11"/>
    </row>
    <row r="192">
      <c r="D192" s="11"/>
    </row>
    <row r="193">
      <c r="D193" s="11"/>
    </row>
    <row r="194">
      <c r="D194" s="11"/>
    </row>
    <row r="195">
      <c r="D195" s="11"/>
    </row>
    <row r="196">
      <c r="D196" s="11"/>
    </row>
    <row r="197">
      <c r="D197" s="11"/>
    </row>
    <row r="198">
      <c r="D198" s="11"/>
    </row>
    <row r="199">
      <c r="D199" s="11"/>
    </row>
    <row r="200">
      <c r="D200" s="11"/>
    </row>
    <row r="201">
      <c r="D201" s="11"/>
    </row>
    <row r="202">
      <c r="D202" s="11"/>
    </row>
    <row r="203">
      <c r="D203" s="11"/>
    </row>
    <row r="204">
      <c r="D204" s="11"/>
    </row>
    <row r="205">
      <c r="D205" s="11"/>
    </row>
    <row r="206">
      <c r="D206" s="11"/>
    </row>
    <row r="207">
      <c r="D207" s="11"/>
    </row>
    <row r="208">
      <c r="D208" s="11"/>
    </row>
    <row r="209">
      <c r="D209" s="11"/>
    </row>
    <row r="210">
      <c r="D210" s="11"/>
    </row>
    <row r="211">
      <c r="D211" s="11"/>
    </row>
    <row r="212">
      <c r="D212" s="11"/>
    </row>
    <row r="213">
      <c r="D213" s="11"/>
    </row>
    <row r="214">
      <c r="D214" s="11"/>
    </row>
    <row r="215">
      <c r="D215" s="11"/>
    </row>
    <row r="216">
      <c r="D216" s="11"/>
    </row>
    <row r="217">
      <c r="D217" s="11"/>
    </row>
    <row r="218">
      <c r="D218" s="11"/>
    </row>
    <row r="219">
      <c r="D219" s="11"/>
    </row>
    <row r="220">
      <c r="D220" s="11"/>
    </row>
    <row r="221">
      <c r="D221" s="11"/>
    </row>
    <row r="222">
      <c r="D222" s="11"/>
    </row>
    <row r="223">
      <c r="D223" s="11"/>
    </row>
    <row r="224">
      <c r="D224" s="11"/>
    </row>
    <row r="225">
      <c r="D225" s="11"/>
    </row>
    <row r="226">
      <c r="D226" s="11"/>
    </row>
    <row r="227">
      <c r="D227" s="11"/>
    </row>
    <row r="228">
      <c r="D228" s="11"/>
    </row>
    <row r="229">
      <c r="D229" s="11"/>
    </row>
    <row r="230">
      <c r="D230" s="11"/>
    </row>
    <row r="231">
      <c r="D231" s="11"/>
    </row>
    <row r="232">
      <c r="D232" s="11"/>
    </row>
    <row r="233">
      <c r="D233" s="11"/>
    </row>
    <row r="234">
      <c r="D234" s="11"/>
    </row>
    <row r="235">
      <c r="D235" s="11"/>
    </row>
    <row r="236">
      <c r="D236" s="11"/>
    </row>
    <row r="237">
      <c r="D237" s="11"/>
    </row>
    <row r="238">
      <c r="D238" s="11"/>
    </row>
    <row r="239">
      <c r="D239" s="11"/>
    </row>
    <row r="240">
      <c r="D240" s="11"/>
    </row>
    <row r="241">
      <c r="D241" s="11"/>
    </row>
    <row r="242">
      <c r="D242" s="11"/>
    </row>
    <row r="243">
      <c r="D243" s="11"/>
    </row>
    <row r="244">
      <c r="D244" s="11"/>
    </row>
    <row r="245">
      <c r="D245" s="11"/>
    </row>
    <row r="246">
      <c r="D246" s="11"/>
    </row>
    <row r="247">
      <c r="D247" s="11"/>
    </row>
    <row r="248">
      <c r="D248" s="11"/>
    </row>
    <row r="249">
      <c r="D249" s="11"/>
    </row>
    <row r="250">
      <c r="D250" s="11"/>
    </row>
    <row r="251">
      <c r="D251" s="11"/>
    </row>
    <row r="252">
      <c r="D252" s="11"/>
    </row>
    <row r="253">
      <c r="D253" s="11"/>
    </row>
    <row r="254">
      <c r="D254" s="11"/>
    </row>
    <row r="255">
      <c r="D255" s="11"/>
    </row>
    <row r="256">
      <c r="D256" s="11"/>
    </row>
    <row r="257">
      <c r="D257" s="11"/>
    </row>
    <row r="258">
      <c r="D258" s="11"/>
    </row>
    <row r="259">
      <c r="D259" s="11"/>
    </row>
    <row r="260">
      <c r="D260" s="11"/>
    </row>
    <row r="261">
      <c r="D261" s="11"/>
    </row>
    <row r="262">
      <c r="D262" s="11"/>
    </row>
    <row r="263">
      <c r="D263" s="11"/>
    </row>
    <row r="264">
      <c r="D264" s="11"/>
    </row>
    <row r="265">
      <c r="D265" s="11"/>
    </row>
    <row r="266">
      <c r="D266" s="11"/>
    </row>
    <row r="267">
      <c r="D267" s="11"/>
    </row>
    <row r="268">
      <c r="D268" s="11"/>
    </row>
    <row r="269">
      <c r="D269" s="11"/>
    </row>
    <row r="270">
      <c r="D270" s="11"/>
    </row>
    <row r="271">
      <c r="D271" s="11"/>
    </row>
    <row r="272">
      <c r="D272" s="11"/>
    </row>
    <row r="273">
      <c r="D273" s="11"/>
    </row>
    <row r="274">
      <c r="D274" s="11"/>
    </row>
    <row r="275">
      <c r="D275" s="11"/>
    </row>
    <row r="276">
      <c r="D276" s="11"/>
    </row>
    <row r="277">
      <c r="D277" s="11"/>
    </row>
    <row r="278">
      <c r="D278" s="11"/>
    </row>
    <row r="279">
      <c r="D279" s="11"/>
    </row>
    <row r="280">
      <c r="D280" s="11"/>
    </row>
    <row r="281">
      <c r="D281" s="11"/>
    </row>
    <row r="282">
      <c r="D282" s="11"/>
    </row>
    <row r="283">
      <c r="D283" s="11"/>
    </row>
    <row r="284">
      <c r="D284" s="11"/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</sheetData>
  <drawing r:id="rId1"/>
</worksheet>
</file>